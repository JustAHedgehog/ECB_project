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91802-3-研究-個人\Willy\ECB_NAS\"/>
    </mc:Choice>
  </mc:AlternateContent>
  <xr:revisionPtr revIDLastSave="0" documentId="13_ncr:1_{D8680B88-F888-4E14-BB61-9231BB8D78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D38" i="1"/>
  <c r="E41" i="1"/>
  <c r="D41" i="1"/>
</calcChain>
</file>

<file path=xl/sharedStrings.xml><?xml version="1.0" encoding="utf-8"?>
<sst xmlns="http://schemas.openxmlformats.org/spreadsheetml/2006/main" count="84" uniqueCount="31">
  <si>
    <t>p</t>
  </si>
  <si>
    <t>Cost_fval</t>
  </si>
  <si>
    <t>Gap_Low_mm</t>
  </si>
  <si>
    <t>Gap_High_mm</t>
  </si>
  <si>
    <t>mu_0</t>
  </si>
  <si>
    <t>mu_y</t>
  </si>
  <si>
    <t>mu_c</t>
  </si>
  <si>
    <t>r_yo</t>
  </si>
  <si>
    <t>r_yi</t>
  </si>
  <si>
    <t>t_y</t>
  </si>
  <si>
    <t>sigma</t>
  </si>
  <si>
    <t>r_co</t>
  </si>
  <si>
    <t>r_ci</t>
  </si>
  <si>
    <t>t_c</t>
  </si>
  <si>
    <t>H_c</t>
  </si>
  <si>
    <t>B_r</t>
  </si>
  <si>
    <t>r_av</t>
  </si>
  <si>
    <t>l_m</t>
  </si>
  <si>
    <t>t_m</t>
  </si>
  <si>
    <t>PM_ratio</t>
  </si>
  <si>
    <t>mu_r</t>
  </si>
  <si>
    <t>theta_p</t>
  </si>
  <si>
    <t>tau_p</t>
  </si>
  <si>
    <t>w_m</t>
  </si>
  <si>
    <t>H</t>
  </si>
  <si>
    <t>Torque_Low_Nm</t>
  </si>
  <si>
    <t>Torque_High_Nm</t>
  </si>
  <si>
    <t>Optimization</t>
    <phoneticPr fontId="1" type="noConversion"/>
  </si>
  <si>
    <t>Simulation</t>
    <phoneticPr fontId="1" type="noConversion"/>
  </si>
  <si>
    <t>band平移</t>
    <phoneticPr fontId="1" type="noConversion"/>
  </si>
  <si>
    <r>
      <t>air</t>
    </r>
    <r>
      <rPr>
        <sz val="11"/>
        <rFont val="細明體"/>
        <family val="2"/>
        <charset val="136"/>
      </rPr>
      <t>厚度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</si>
</sst>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</font>
    <font>
      <sz val="11"/>
      <name val="Calibri"/>
      <family val="2"/>
    </font>
    <font>
      <sz val="11"/>
      <name val="Microsoft JhengHei UI"/>
      <family val="2"/>
      <charset val="136"/>
    </font>
    <font>
      <sz val="11"/>
      <name val="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0" fillId="2" borderId="0" xfId="0" applyFill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selection activeCell="E12" sqref="E12"/>
    </sheetView>
  </sheetViews>
  <sheetFormatPr defaultRowHeight="15" x14ac:dyDescent="0.25"/>
  <cols>
    <col min="1" max="1" width="2.28515625" customWidth="1"/>
    <col min="2" max="2" width="12.7109375" customWidth="1"/>
    <col min="3" max="3" width="13.5703125" customWidth="1"/>
    <col min="4" max="4" width="14" customWidth="1"/>
    <col min="5" max="5" width="15.5703125" customWidth="1"/>
    <col min="6" max="6" width="6" customWidth="1"/>
    <col min="7" max="7" width="9.5703125" customWidth="1"/>
    <col min="8" max="8" width="11.7109375" customWidth="1"/>
    <col min="9" max="9" width="4.42578125" customWidth="1"/>
    <col min="10" max="10" width="3.85546875" customWidth="1"/>
    <col min="11" max="11" width="9.140625" customWidth="1"/>
    <col min="12" max="12" width="11.7109375" customWidth="1"/>
    <col min="13" max="13" width="4.28515625" customWidth="1"/>
    <col min="14" max="14" width="11.7109375" customWidth="1"/>
    <col min="15" max="15" width="7.140625" customWidth="1"/>
    <col min="16" max="16" width="4.7109375" customWidth="1"/>
    <col min="17" max="19" width="11.7109375" customWidth="1"/>
    <col min="20" max="20" width="9.140625" customWidth="1"/>
    <col min="21" max="21" width="11.7109375" customWidth="1"/>
    <col min="22" max="22" width="12.7109375" customWidth="1"/>
    <col min="23" max="23" width="13.7109375" customWidth="1"/>
    <col min="24" max="24" width="11.7109375" customWidth="1"/>
    <col min="25" max="25" width="14.7109375" customWidth="1"/>
    <col min="26" max="26" width="16.140625" customWidth="1"/>
    <col min="27" max="27" width="16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4</v>
      </c>
      <c r="B2">
        <v>0.95087902584226724</v>
      </c>
      <c r="C2">
        <v>4.9343835517226484</v>
      </c>
      <c r="D2">
        <v>1</v>
      </c>
      <c r="E2">
        <v>1.2566370614359173E-6</v>
      </c>
      <c r="F2">
        <v>4000</v>
      </c>
      <c r="G2">
        <v>1.257E-6</v>
      </c>
      <c r="H2">
        <v>79.318709313014367</v>
      </c>
      <c r="I2">
        <v>20</v>
      </c>
      <c r="J2">
        <v>10</v>
      </c>
      <c r="K2">
        <v>35000000.000000127</v>
      </c>
      <c r="L2">
        <v>79.318709313014367</v>
      </c>
      <c r="M2">
        <v>20</v>
      </c>
      <c r="N2">
        <v>1.0884917717849996</v>
      </c>
      <c r="O2">
        <v>880000.00000501168</v>
      </c>
      <c r="P2">
        <v>1.33</v>
      </c>
      <c r="Q2">
        <v>54.682243167831281</v>
      </c>
      <c r="R2">
        <v>47.272932290366171</v>
      </c>
      <c r="S2">
        <v>2.1078420373017228</v>
      </c>
      <c r="T2">
        <v>0.9</v>
      </c>
      <c r="U2">
        <v>1.2027049676762231</v>
      </c>
      <c r="V2">
        <v>0.78539816339744828</v>
      </c>
      <c r="W2">
        <v>4.2947333354467356E-2</v>
      </c>
      <c r="X2">
        <v>38.652600019020618</v>
      </c>
      <c r="Y2">
        <v>6.0228885113240999E-3</v>
      </c>
      <c r="Z2">
        <v>1.8329999999999997</v>
      </c>
      <c r="AA2">
        <v>18.39</v>
      </c>
    </row>
    <row r="3" spans="1:27" x14ac:dyDescent="0.25">
      <c r="A3">
        <v>5</v>
      </c>
      <c r="B3">
        <v>0.90987102145047083</v>
      </c>
      <c r="C3">
        <v>4.7872025839221832</v>
      </c>
      <c r="D3">
        <v>1</v>
      </c>
      <c r="E3">
        <v>1.2566370614359173E-6</v>
      </c>
      <c r="F3">
        <v>4000</v>
      </c>
      <c r="G3">
        <v>1.257E-6</v>
      </c>
      <c r="H3">
        <v>77.388237541510421</v>
      </c>
      <c r="I3">
        <v>20</v>
      </c>
      <c r="J3">
        <v>10</v>
      </c>
      <c r="K3">
        <v>35000000.000000075</v>
      </c>
      <c r="L3">
        <v>77.388237541510421</v>
      </c>
      <c r="M3">
        <v>20</v>
      </c>
      <c r="N3">
        <v>1.1519774094393256</v>
      </c>
      <c r="O3">
        <v>880000.00000304694</v>
      </c>
      <c r="P3">
        <v>1.33</v>
      </c>
      <c r="Q3">
        <v>53.72035410361471</v>
      </c>
      <c r="R3">
        <v>45.335766875791414</v>
      </c>
      <c r="S3">
        <v>2.0300150726007269</v>
      </c>
      <c r="T3">
        <v>0.9</v>
      </c>
      <c r="U3">
        <v>1.2027049676789086</v>
      </c>
      <c r="V3">
        <v>0.62831853071795862</v>
      </c>
      <c r="W3">
        <v>3.3753493960031654E-2</v>
      </c>
      <c r="X3">
        <v>30.378144564028489</v>
      </c>
      <c r="Y3">
        <v>6.0262353328595034E-3</v>
      </c>
      <c r="Z3">
        <v>1.8329999999999997</v>
      </c>
      <c r="AA3">
        <v>18.39</v>
      </c>
    </row>
    <row r="4" spans="1:27" x14ac:dyDescent="0.25">
      <c r="A4">
        <v>6</v>
      </c>
      <c r="B4">
        <v>0.88728021137475555</v>
      </c>
      <c r="C4">
        <v>4.6418388610605978</v>
      </c>
      <c r="D4">
        <v>1</v>
      </c>
      <c r="E4">
        <v>1.2566370614359173E-6</v>
      </c>
      <c r="F4">
        <v>4000</v>
      </c>
      <c r="G4">
        <v>1.257E-6</v>
      </c>
      <c r="H4">
        <v>76.642922403309456</v>
      </c>
      <c r="I4">
        <v>20</v>
      </c>
      <c r="J4">
        <v>10</v>
      </c>
      <c r="K4">
        <v>35000000.000000089</v>
      </c>
      <c r="L4">
        <v>76.642922403309456</v>
      </c>
      <c r="M4">
        <v>20</v>
      </c>
      <c r="N4">
        <v>1.1576836491136966</v>
      </c>
      <c r="O4">
        <v>880000.00000322633</v>
      </c>
      <c r="P4">
        <v>1.33</v>
      </c>
      <c r="Q4">
        <v>53.728146970900902</v>
      </c>
      <c r="R4">
        <v>43.829550864817115</v>
      </c>
      <c r="S4">
        <v>1.9775011925254942</v>
      </c>
      <c r="T4">
        <v>0.9</v>
      </c>
      <c r="U4">
        <v>1.2027049676786632</v>
      </c>
      <c r="V4">
        <v>0.52359877559829882</v>
      </c>
      <c r="W4">
        <v>2.8131991969129157E-2</v>
      </c>
      <c r="X4">
        <v>25.318792772216241</v>
      </c>
      <c r="Y4">
        <v>6.4066857692461707E-3</v>
      </c>
      <c r="Z4">
        <v>1.8329999999999997</v>
      </c>
      <c r="AA4">
        <v>18.39</v>
      </c>
    </row>
    <row r="5" spans="1:27" x14ac:dyDescent="0.25">
      <c r="A5">
        <v>7</v>
      </c>
      <c r="B5">
        <v>0.87429101456471237</v>
      </c>
      <c r="C5">
        <v>4.5278344802227739</v>
      </c>
      <c r="D5">
        <v>1</v>
      </c>
      <c r="E5">
        <v>1.2566370614359173E-6</v>
      </c>
      <c r="F5">
        <v>4000</v>
      </c>
      <c r="G5">
        <v>1.257E-6</v>
      </c>
      <c r="H5">
        <v>76.330353561934231</v>
      </c>
      <c r="I5">
        <v>20</v>
      </c>
      <c r="J5">
        <v>10</v>
      </c>
      <c r="K5">
        <v>35000000.000000082</v>
      </c>
      <c r="L5">
        <v>76.330353561934231</v>
      </c>
      <c r="M5">
        <v>20</v>
      </c>
      <c r="N5">
        <v>1.1573048038951865</v>
      </c>
      <c r="O5">
        <v>880000.00000302214</v>
      </c>
      <c r="P5">
        <v>1.33</v>
      </c>
      <c r="Q5">
        <v>53.889006022987154</v>
      </c>
      <c r="R5">
        <v>42.882695077894141</v>
      </c>
      <c r="S5">
        <v>1.947465030353323</v>
      </c>
      <c r="T5">
        <v>0.9</v>
      </c>
      <c r="U5">
        <v>1.2027049676789423</v>
      </c>
      <c r="V5">
        <v>0.44879895051282759</v>
      </c>
      <c r="W5">
        <v>2.4185329347296079E-2</v>
      </c>
      <c r="X5">
        <v>21.766796412566471</v>
      </c>
      <c r="Y5">
        <v>6.7238292420200452E-3</v>
      </c>
      <c r="Z5">
        <v>1.8329999999999997</v>
      </c>
      <c r="AA5">
        <v>18.39</v>
      </c>
    </row>
    <row r="6" spans="1:27" x14ac:dyDescent="0.25">
      <c r="A6">
        <v>8</v>
      </c>
      <c r="B6">
        <v>0.86686301200201665</v>
      </c>
      <c r="C6">
        <v>4.4323970311628207</v>
      </c>
      <c r="D6">
        <v>1</v>
      </c>
      <c r="E6">
        <v>1.2566370614359173E-6</v>
      </c>
      <c r="F6">
        <v>4000</v>
      </c>
      <c r="G6">
        <v>1.257E-6</v>
      </c>
      <c r="H6">
        <v>76.28202066091248</v>
      </c>
      <c r="I6">
        <v>20</v>
      </c>
      <c r="J6">
        <v>10</v>
      </c>
      <c r="K6">
        <v>35000000.000000097</v>
      </c>
      <c r="L6">
        <v>76.28202066091248</v>
      </c>
      <c r="M6">
        <v>20</v>
      </c>
      <c r="N6">
        <v>1.1533852881509683</v>
      </c>
      <c r="O6">
        <v>880000.00000333879</v>
      </c>
      <c r="P6">
        <v>1.33</v>
      </c>
      <c r="Q6">
        <v>54.158106044249365</v>
      </c>
      <c r="R6">
        <v>42.247829233326236</v>
      </c>
      <c r="S6">
        <v>1.9290462882091854</v>
      </c>
      <c r="T6">
        <v>0.9</v>
      </c>
      <c r="U6">
        <v>1.2027049676785095</v>
      </c>
      <c r="V6">
        <v>0.39269908169872414</v>
      </c>
      <c r="W6">
        <v>2.1267838510118847E-2</v>
      </c>
      <c r="X6">
        <v>19.141054659106963</v>
      </c>
      <c r="Y6">
        <v>7.0170957137931245E-3</v>
      </c>
      <c r="Z6">
        <v>1.8329999999999997</v>
      </c>
      <c r="AA6">
        <v>18.39</v>
      </c>
    </row>
    <row r="10" spans="1:27" x14ac:dyDescent="0.25">
      <c r="C10" t="s">
        <v>0</v>
      </c>
      <c r="D10">
        <v>4</v>
      </c>
      <c r="E10">
        <v>5</v>
      </c>
      <c r="F10">
        <v>6</v>
      </c>
      <c r="G10">
        <v>7</v>
      </c>
      <c r="H10">
        <v>8</v>
      </c>
    </row>
    <row r="11" spans="1:27" x14ac:dyDescent="0.25">
      <c r="C11" t="s">
        <v>1</v>
      </c>
      <c r="D11">
        <v>0.95087902584226724</v>
      </c>
      <c r="E11">
        <v>0.90987102145047083</v>
      </c>
      <c r="F11">
        <v>0.88728021137475555</v>
      </c>
      <c r="G11">
        <v>0.87429101456471237</v>
      </c>
      <c r="H11">
        <v>0.86686301200201665</v>
      </c>
    </row>
    <row r="12" spans="1:27" x14ac:dyDescent="0.25">
      <c r="C12" s="8" t="s">
        <v>2</v>
      </c>
      <c r="D12" s="8">
        <v>4.9343835517226484</v>
      </c>
      <c r="E12" s="8">
        <v>4.7872025839221797</v>
      </c>
      <c r="F12" s="8">
        <v>4.6418388610605978</v>
      </c>
      <c r="G12" s="8">
        <v>4.5278344802227739</v>
      </c>
      <c r="H12" s="8">
        <v>4.4323970311628207</v>
      </c>
    </row>
    <row r="13" spans="1:27" x14ac:dyDescent="0.25">
      <c r="C13" t="s">
        <v>3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27" x14ac:dyDescent="0.25">
      <c r="C14" t="s">
        <v>4</v>
      </c>
      <c r="D14">
        <v>1.2566370614359173E-6</v>
      </c>
      <c r="E14">
        <v>1.2566370614359173E-6</v>
      </c>
      <c r="F14">
        <v>1.2566370614359173E-6</v>
      </c>
      <c r="G14">
        <v>1.2566370614359173E-6</v>
      </c>
      <c r="H14">
        <v>1.2566370614359173E-6</v>
      </c>
    </row>
    <row r="15" spans="1:27" x14ac:dyDescent="0.25">
      <c r="C15" t="s">
        <v>5</v>
      </c>
      <c r="D15">
        <v>4000</v>
      </c>
      <c r="E15">
        <v>4000</v>
      </c>
      <c r="F15">
        <v>4000</v>
      </c>
      <c r="G15">
        <v>4000</v>
      </c>
      <c r="H15">
        <v>4000</v>
      </c>
    </row>
    <row r="16" spans="1:27" x14ac:dyDescent="0.25">
      <c r="C16" t="s">
        <v>6</v>
      </c>
      <c r="D16">
        <v>1.257E-6</v>
      </c>
      <c r="E16">
        <v>1.257E-6</v>
      </c>
      <c r="F16">
        <v>1.257E-6</v>
      </c>
      <c r="G16">
        <v>1.257E-6</v>
      </c>
      <c r="H16">
        <v>1.257E-6</v>
      </c>
    </row>
    <row r="17" spans="3:8" x14ac:dyDescent="0.25">
      <c r="C17" s="8" t="s">
        <v>7</v>
      </c>
      <c r="D17" s="8">
        <v>79.318709313014367</v>
      </c>
      <c r="E17" s="8">
        <v>77.388237541510421</v>
      </c>
      <c r="F17" s="8">
        <v>76.642922403309456</v>
      </c>
      <c r="G17" s="8">
        <v>76.330353561934231</v>
      </c>
      <c r="H17" s="8">
        <v>76.28202066091248</v>
      </c>
    </row>
    <row r="18" spans="3:8" x14ac:dyDescent="0.25">
      <c r="C18" s="8" t="s">
        <v>8</v>
      </c>
      <c r="D18" s="8">
        <v>20</v>
      </c>
      <c r="E18" s="8">
        <v>20</v>
      </c>
      <c r="F18" s="8">
        <v>20</v>
      </c>
      <c r="G18" s="8">
        <v>20</v>
      </c>
      <c r="H18" s="8">
        <v>20</v>
      </c>
    </row>
    <row r="19" spans="3:8" x14ac:dyDescent="0.25">
      <c r="C19" s="8" t="s">
        <v>9</v>
      </c>
      <c r="D19" s="8">
        <v>10</v>
      </c>
      <c r="E19" s="8">
        <v>10</v>
      </c>
      <c r="F19" s="8">
        <v>10</v>
      </c>
      <c r="G19" s="8">
        <v>10</v>
      </c>
      <c r="H19" s="8">
        <v>10</v>
      </c>
    </row>
    <row r="20" spans="3:8" x14ac:dyDescent="0.25">
      <c r="C20" t="s">
        <v>10</v>
      </c>
      <c r="D20">
        <v>35000000.000000127</v>
      </c>
      <c r="E20">
        <v>35000000.000000075</v>
      </c>
      <c r="F20">
        <v>35000000.000000089</v>
      </c>
      <c r="G20">
        <v>35000000.000000082</v>
      </c>
      <c r="H20">
        <v>35000000.000000097</v>
      </c>
    </row>
    <row r="21" spans="3:8" x14ac:dyDescent="0.25">
      <c r="C21" s="8" t="s">
        <v>11</v>
      </c>
      <c r="D21" s="8">
        <v>79.318709313014367</v>
      </c>
      <c r="E21" s="8">
        <v>77.388237541510421</v>
      </c>
      <c r="F21" s="8">
        <v>76.642922403309456</v>
      </c>
      <c r="G21" s="8">
        <v>76.330353561934231</v>
      </c>
      <c r="H21" s="8">
        <v>76.28202066091248</v>
      </c>
    </row>
    <row r="22" spans="3:8" x14ac:dyDescent="0.25">
      <c r="C22" s="8" t="s">
        <v>12</v>
      </c>
      <c r="D22" s="8">
        <v>20</v>
      </c>
      <c r="E22" s="8">
        <v>20</v>
      </c>
      <c r="F22" s="8">
        <v>20</v>
      </c>
      <c r="G22" s="8">
        <v>20</v>
      </c>
      <c r="H22" s="8">
        <v>20</v>
      </c>
    </row>
    <row r="23" spans="3:8" x14ac:dyDescent="0.25">
      <c r="C23" s="8" t="s">
        <v>13</v>
      </c>
      <c r="D23" s="8">
        <v>1.0884917717849996</v>
      </c>
      <c r="E23" s="8">
        <v>1.1519774094393256</v>
      </c>
      <c r="F23" s="8">
        <v>1.1576836491136966</v>
      </c>
      <c r="G23" s="8">
        <v>1.1573048038951865</v>
      </c>
      <c r="H23" s="8">
        <v>1.1533852881509683</v>
      </c>
    </row>
    <row r="24" spans="3:8" x14ac:dyDescent="0.25">
      <c r="C24" t="s">
        <v>14</v>
      </c>
      <c r="D24">
        <v>880000.00000501168</v>
      </c>
      <c r="E24">
        <v>880000.00000304694</v>
      </c>
      <c r="F24">
        <v>880000.00000322633</v>
      </c>
      <c r="G24">
        <v>880000.00000302214</v>
      </c>
      <c r="H24">
        <v>880000.00000333879</v>
      </c>
    </row>
    <row r="25" spans="3:8" x14ac:dyDescent="0.25">
      <c r="C25" t="s">
        <v>15</v>
      </c>
      <c r="D25">
        <v>1.33</v>
      </c>
      <c r="E25">
        <v>1.33</v>
      </c>
      <c r="F25">
        <v>1.33</v>
      </c>
      <c r="G25">
        <v>1.33</v>
      </c>
      <c r="H25">
        <v>1.33</v>
      </c>
    </row>
    <row r="26" spans="3:8" x14ac:dyDescent="0.25">
      <c r="C26" s="8" t="s">
        <v>16</v>
      </c>
      <c r="D26" s="8">
        <v>54.682243167831281</v>
      </c>
      <c r="E26" s="8">
        <v>53.72035410361471</v>
      </c>
      <c r="F26" s="8">
        <v>53.728146970900902</v>
      </c>
      <c r="G26" s="8">
        <v>53.889006022987154</v>
      </c>
      <c r="H26" s="8">
        <v>54.158106044249365</v>
      </c>
    </row>
    <row r="27" spans="3:8" x14ac:dyDescent="0.25">
      <c r="C27" s="8" t="s">
        <v>17</v>
      </c>
      <c r="D27" s="8">
        <v>47.272932290366171</v>
      </c>
      <c r="E27" s="8">
        <v>45.335766875791414</v>
      </c>
      <c r="F27" s="8">
        <v>43.829550864817115</v>
      </c>
      <c r="G27" s="8">
        <v>42.882695077894141</v>
      </c>
      <c r="H27" s="8">
        <v>42.247829233326236</v>
      </c>
    </row>
    <row r="28" spans="3:8" x14ac:dyDescent="0.25">
      <c r="C28" s="8" t="s">
        <v>18</v>
      </c>
      <c r="D28" s="8">
        <v>2.1078420373017228</v>
      </c>
      <c r="E28" s="8">
        <v>2.0300150726007269</v>
      </c>
      <c r="F28" s="8">
        <v>1.9775011925254942</v>
      </c>
      <c r="G28" s="8">
        <v>1.947465030353323</v>
      </c>
      <c r="H28" s="8">
        <v>1.9290462882091854</v>
      </c>
    </row>
    <row r="29" spans="3:8" x14ac:dyDescent="0.25">
      <c r="C29" s="8" t="s">
        <v>19</v>
      </c>
      <c r="D29" s="8">
        <v>0.9</v>
      </c>
      <c r="E29" s="8">
        <v>0.9</v>
      </c>
      <c r="F29" s="8">
        <v>0.9</v>
      </c>
      <c r="G29" s="8">
        <v>0.9</v>
      </c>
      <c r="H29" s="8">
        <v>0.9</v>
      </c>
    </row>
    <row r="30" spans="3:8" x14ac:dyDescent="0.25">
      <c r="C30" t="s">
        <v>20</v>
      </c>
      <c r="D30">
        <v>1.2027049676762231</v>
      </c>
      <c r="E30">
        <v>1.2027049676789086</v>
      </c>
      <c r="F30">
        <v>1.2027049676786632</v>
      </c>
      <c r="G30">
        <v>1.2027049676789423</v>
      </c>
      <c r="H30">
        <v>1.2027049676785095</v>
      </c>
    </row>
    <row r="31" spans="3:8" x14ac:dyDescent="0.25">
      <c r="C31" s="8" t="s">
        <v>21</v>
      </c>
      <c r="D31" s="8">
        <v>0.78539816339744828</v>
      </c>
      <c r="E31" s="8">
        <v>0.62831853071795862</v>
      </c>
      <c r="F31" s="8">
        <v>0.52359877559829882</v>
      </c>
      <c r="G31" s="8">
        <v>0.44879895051282759</v>
      </c>
      <c r="H31" s="8">
        <v>0.39269908169872414</v>
      </c>
    </row>
    <row r="32" spans="3:8" x14ac:dyDescent="0.25">
      <c r="C32" t="s">
        <v>22</v>
      </c>
      <c r="D32">
        <v>4.2947333354467356E-2</v>
      </c>
      <c r="E32">
        <v>3.3753493960031654E-2</v>
      </c>
      <c r="F32">
        <v>2.8131991969129157E-2</v>
      </c>
      <c r="G32">
        <v>2.4185329347296079E-2</v>
      </c>
      <c r="H32">
        <v>2.1267838510118847E-2</v>
      </c>
    </row>
    <row r="33" spans="3:8" x14ac:dyDescent="0.25">
      <c r="C33" t="s">
        <v>23</v>
      </c>
      <c r="D33">
        <v>38.652600019020618</v>
      </c>
      <c r="E33">
        <v>30.378144564028489</v>
      </c>
      <c r="F33">
        <v>25.318792772216241</v>
      </c>
      <c r="G33">
        <v>21.766796412566471</v>
      </c>
      <c r="H33">
        <v>19.141054659106963</v>
      </c>
    </row>
    <row r="34" spans="3:8" x14ac:dyDescent="0.25">
      <c r="C34" t="s">
        <v>24</v>
      </c>
      <c r="D34">
        <v>6.0228885113240999E-3</v>
      </c>
      <c r="E34">
        <v>6.0262353328595034E-3</v>
      </c>
      <c r="F34">
        <v>6.4066857692461707E-3</v>
      </c>
      <c r="G34">
        <v>6.7238292420200452E-3</v>
      </c>
      <c r="H34">
        <v>7.0170957137931245E-3</v>
      </c>
    </row>
    <row r="35" spans="3:8" x14ac:dyDescent="0.25">
      <c r="C35" t="s">
        <v>25</v>
      </c>
      <c r="D35">
        <v>1.8329999999999997</v>
      </c>
      <c r="E35">
        <v>1.8329999999999997</v>
      </c>
      <c r="F35">
        <v>1.8329999999999997</v>
      </c>
      <c r="G35">
        <v>1.8329999999999997</v>
      </c>
      <c r="H35">
        <v>1.8329999999999997</v>
      </c>
    </row>
    <row r="36" spans="3:8" x14ac:dyDescent="0.25">
      <c r="C36" t="s">
        <v>26</v>
      </c>
      <c r="D36">
        <v>18.39</v>
      </c>
      <c r="E36">
        <v>18.39</v>
      </c>
      <c r="F36">
        <v>18.39</v>
      </c>
      <c r="G36">
        <v>18.39</v>
      </c>
      <c r="H36">
        <v>18.39</v>
      </c>
    </row>
    <row r="37" spans="3:8" x14ac:dyDescent="0.25">
      <c r="C37" s="1"/>
      <c r="D37" s="1">
        <v>1.7989999999999999</v>
      </c>
      <c r="E37" s="1"/>
      <c r="F37" s="1"/>
      <c r="G37" s="1"/>
      <c r="H37" s="1"/>
    </row>
    <row r="38" spans="3:8" x14ac:dyDescent="0.25">
      <c r="C38" s="1"/>
      <c r="D38" s="2">
        <f>(D37-D35)/D35</f>
        <v>-1.8548827059465256E-2</v>
      </c>
      <c r="E38" s="1"/>
      <c r="F38" s="1"/>
      <c r="G38" s="1"/>
      <c r="H38" s="1"/>
    </row>
    <row r="40" spans="3:8" x14ac:dyDescent="0.25">
      <c r="C40" s="6" t="s">
        <v>29</v>
      </c>
      <c r="D40">
        <f>(D28+D12+D19)</f>
        <v>17.042225589024369</v>
      </c>
      <c r="E40">
        <f>(E28+E12+E19)</f>
        <v>16.817217656522907</v>
      </c>
    </row>
    <row r="41" spans="3:8" ht="15.75" x14ac:dyDescent="0.25">
      <c r="C41" s="7" t="s">
        <v>30</v>
      </c>
      <c r="D41">
        <f>D19+D23</f>
        <v>11.088491771785</v>
      </c>
      <c r="E41">
        <f>E19+E23</f>
        <v>11.151977409439326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1C52-3705-439C-A09E-60AB253816BA}">
  <dimension ref="A1:M11"/>
  <sheetViews>
    <sheetView workbookViewId="0">
      <selection activeCell="E3" sqref="E3"/>
    </sheetView>
  </sheetViews>
  <sheetFormatPr defaultRowHeight="15" x14ac:dyDescent="0.25"/>
  <cols>
    <col min="1" max="1" width="13.7109375" style="3" bestFit="1" customWidth="1"/>
    <col min="2" max="2" width="14.5703125" bestFit="1" customWidth="1"/>
    <col min="3" max="3" width="15.140625" bestFit="1" customWidth="1"/>
    <col min="12" max="12" width="17.5703125" bestFit="1" customWidth="1"/>
    <col min="13" max="13" width="18" bestFit="1" customWidth="1"/>
  </cols>
  <sheetData>
    <row r="1" spans="1:13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14</v>
      </c>
      <c r="I1" s="1" t="s">
        <v>15</v>
      </c>
      <c r="J1" s="1" t="s">
        <v>20</v>
      </c>
      <c r="K1" s="1" t="s">
        <v>24</v>
      </c>
      <c r="L1" s="1" t="s">
        <v>25</v>
      </c>
      <c r="M1" s="1" t="s">
        <v>26</v>
      </c>
    </row>
    <row r="2" spans="1:13" x14ac:dyDescent="0.25">
      <c r="A2" s="4" t="s">
        <v>27</v>
      </c>
      <c r="B2" s="1">
        <v>4.9343835517226484</v>
      </c>
      <c r="C2" s="1">
        <v>1</v>
      </c>
      <c r="D2" s="1">
        <v>1.2566370614359173E-6</v>
      </c>
      <c r="E2" s="1">
        <v>4000</v>
      </c>
      <c r="F2" s="1">
        <v>1.257E-6</v>
      </c>
      <c r="G2" s="1">
        <v>35000000.000000127</v>
      </c>
      <c r="H2" s="1">
        <v>880000.00000501168</v>
      </c>
      <c r="I2" s="1">
        <v>1.33</v>
      </c>
      <c r="J2" s="1">
        <v>1.2027049676762231</v>
      </c>
      <c r="K2" s="1">
        <v>6.0228885113240999E-3</v>
      </c>
      <c r="L2" s="1">
        <v>1.8329999999999997</v>
      </c>
      <c r="M2" s="1">
        <v>18.39</v>
      </c>
    </row>
    <row r="3" spans="1:13" x14ac:dyDescent="0.25">
      <c r="A3" s="5" t="s">
        <v>28</v>
      </c>
    </row>
    <row r="9" spans="1:13" x14ac:dyDescent="0.25">
      <c r="A9" s="1"/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10</v>
      </c>
      <c r="H9" s="1" t="s">
        <v>14</v>
      </c>
      <c r="I9" s="1" t="s">
        <v>15</v>
      </c>
      <c r="J9" s="1" t="s">
        <v>20</v>
      </c>
      <c r="K9" s="1" t="s">
        <v>24</v>
      </c>
      <c r="L9" s="1" t="s">
        <v>25</v>
      </c>
      <c r="M9" s="1" t="s">
        <v>26</v>
      </c>
    </row>
    <row r="10" spans="1:13" x14ac:dyDescent="0.25">
      <c r="A10" s="4" t="s">
        <v>27</v>
      </c>
      <c r="B10" s="1">
        <v>4.7872025839221832</v>
      </c>
      <c r="C10" s="1">
        <v>1</v>
      </c>
      <c r="D10" s="1">
        <v>1.2566370614359173E-6</v>
      </c>
      <c r="E10" s="1">
        <v>4000</v>
      </c>
      <c r="F10" s="1">
        <v>1.257E-6</v>
      </c>
      <c r="G10" s="1">
        <v>35000000.000000075</v>
      </c>
      <c r="H10" s="1">
        <v>880000.00000304694</v>
      </c>
      <c r="I10" s="1">
        <v>1.33</v>
      </c>
      <c r="J10" s="1">
        <v>1.2027049676789086</v>
      </c>
      <c r="K10" s="1">
        <v>6.0262353328595034E-3</v>
      </c>
      <c r="L10" s="1">
        <v>1.8329999999999997</v>
      </c>
      <c r="M10" s="1">
        <v>18.39</v>
      </c>
    </row>
    <row r="11" spans="1:13" x14ac:dyDescent="0.25">
      <c r="A11" s="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陳泓任</cp:lastModifiedBy>
  <dcterms:modified xsi:type="dcterms:W3CDTF">2025-12-10T09:30:23Z</dcterms:modified>
</cp:coreProperties>
</file>